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81CC23DE-F942-40A2-8434-BA6CCC39DC9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31" i="1" l="1"/>
  <c r="I20" i="1"/>
  <c r="I13" i="1"/>
  <c r="I17" i="1"/>
  <c r="I10" i="1"/>
  <c r="K27" i="1"/>
  <c r="I7" i="1"/>
  <c r="I3" i="1"/>
</calcChain>
</file>

<file path=xl/sharedStrings.xml><?xml version="1.0" encoding="utf-8"?>
<sst xmlns="http://schemas.openxmlformats.org/spreadsheetml/2006/main" count="532" uniqueCount="124">
  <si>
    <t>Product ID</t>
  </si>
  <si>
    <t>Product Name</t>
  </si>
  <si>
    <t>Category</t>
  </si>
  <si>
    <t>Price</t>
  </si>
  <si>
    <t>Stock</t>
  </si>
  <si>
    <t>Supplier</t>
  </si>
  <si>
    <t>Product_1</t>
  </si>
  <si>
    <t>Home Appliances</t>
  </si>
  <si>
    <t>Supplier_C</t>
  </si>
  <si>
    <t>Product_2</t>
  </si>
  <si>
    <t>Product_3</t>
  </si>
  <si>
    <t>Product_4</t>
  </si>
  <si>
    <t>Product_5</t>
  </si>
  <si>
    <t>Product_6</t>
  </si>
  <si>
    <t>Product_7</t>
  </si>
  <si>
    <t>Product_8</t>
  </si>
  <si>
    <t>Product_9</t>
  </si>
  <si>
    <t>Product_10</t>
  </si>
  <si>
    <t>Product_11</t>
  </si>
  <si>
    <t>Product_12</t>
  </si>
  <si>
    <t>Product_13</t>
  </si>
  <si>
    <t>Product_14</t>
  </si>
  <si>
    <t>Product_15</t>
  </si>
  <si>
    <t>Product_16</t>
  </si>
  <si>
    <t>Product_17</t>
  </si>
  <si>
    <t>Product_18</t>
  </si>
  <si>
    <t>Product_19</t>
  </si>
  <si>
    <t>Product_20</t>
  </si>
  <si>
    <t>Product_21</t>
  </si>
  <si>
    <t>Product_22</t>
  </si>
  <si>
    <t>Product_23</t>
  </si>
  <si>
    <t>Product_24</t>
  </si>
  <si>
    <t>Product_25</t>
  </si>
  <si>
    <t>Product_26</t>
  </si>
  <si>
    <t>Product_27</t>
  </si>
  <si>
    <t>Product_28</t>
  </si>
  <si>
    <t>Product_29</t>
  </si>
  <si>
    <t>Product_30</t>
  </si>
  <si>
    <t>Product_31</t>
  </si>
  <si>
    <t>Product_32</t>
  </si>
  <si>
    <t>Product_33</t>
  </si>
  <si>
    <t>Product_34</t>
  </si>
  <si>
    <t>Product_35</t>
  </si>
  <si>
    <t>Product_36</t>
  </si>
  <si>
    <t>Product_37</t>
  </si>
  <si>
    <t>Product_38</t>
  </si>
  <si>
    <t>Product_39</t>
  </si>
  <si>
    <t>Product_40</t>
  </si>
  <si>
    <t>Product_41</t>
  </si>
  <si>
    <t>Product_42</t>
  </si>
  <si>
    <t>Product_43</t>
  </si>
  <si>
    <t>Product_44</t>
  </si>
  <si>
    <t>Product_45</t>
  </si>
  <si>
    <t>Product_46</t>
  </si>
  <si>
    <t>Product_47</t>
  </si>
  <si>
    <t>Product_48</t>
  </si>
  <si>
    <t>Product_49</t>
  </si>
  <si>
    <t>Product_50</t>
  </si>
  <si>
    <t>Product_51</t>
  </si>
  <si>
    <t>Product_52</t>
  </si>
  <si>
    <t>Product_53</t>
  </si>
  <si>
    <t>Product_54</t>
  </si>
  <si>
    <t>Product_55</t>
  </si>
  <si>
    <t>Product_56</t>
  </si>
  <si>
    <t>Product_57</t>
  </si>
  <si>
    <t>Product_58</t>
  </si>
  <si>
    <t>Product_59</t>
  </si>
  <si>
    <t>Product_60</t>
  </si>
  <si>
    <t>Product_61</t>
  </si>
  <si>
    <t>Product_62</t>
  </si>
  <si>
    <t>Product_63</t>
  </si>
  <si>
    <t>Product_64</t>
  </si>
  <si>
    <t>Product_65</t>
  </si>
  <si>
    <t>Product_66</t>
  </si>
  <si>
    <t>Product_67</t>
  </si>
  <si>
    <t>Product_68</t>
  </si>
  <si>
    <t>Product_69</t>
  </si>
  <si>
    <t>Product_70</t>
  </si>
  <si>
    <t>Product_71</t>
  </si>
  <si>
    <t>Product_72</t>
  </si>
  <si>
    <t>Product_73</t>
  </si>
  <si>
    <t>Product_74</t>
  </si>
  <si>
    <t>Product_75</t>
  </si>
  <si>
    <t>Product_76</t>
  </si>
  <si>
    <t>Product_77</t>
  </si>
  <si>
    <t>Product_78</t>
  </si>
  <si>
    <t>Product_79</t>
  </si>
  <si>
    <t>Product_80</t>
  </si>
  <si>
    <t>Product_81</t>
  </si>
  <si>
    <t>Product_82</t>
  </si>
  <si>
    <t>Product_83</t>
  </si>
  <si>
    <t>Product_84</t>
  </si>
  <si>
    <t>Product_85</t>
  </si>
  <si>
    <t>Product_86</t>
  </si>
  <si>
    <t>Product_87</t>
  </si>
  <si>
    <t>Product_88</t>
  </si>
  <si>
    <t>Product_89</t>
  </si>
  <si>
    <t>Product_90</t>
  </si>
  <si>
    <t>Product_91</t>
  </si>
  <si>
    <t>Product_92</t>
  </si>
  <si>
    <t>Product_93</t>
  </si>
  <si>
    <t>Product_94</t>
  </si>
  <si>
    <t>Product_95</t>
  </si>
  <si>
    <t>Product_96</t>
  </si>
  <si>
    <t>Product_97</t>
  </si>
  <si>
    <t>Product_98</t>
  </si>
  <si>
    <t>Product_99</t>
  </si>
  <si>
    <t>Product_100</t>
  </si>
  <si>
    <t>Stationery</t>
  </si>
  <si>
    <t>Electronics</t>
  </si>
  <si>
    <t>Accessories</t>
  </si>
  <si>
    <t>Supplier_D</t>
  </si>
  <si>
    <t>Supplier_A</t>
  </si>
  <si>
    <t>Supplier_B</t>
  </si>
  <si>
    <t>1. Find the Price of Product with ID 25.</t>
  </si>
  <si>
    <t>2. What is the Stock for the product "Product_50"?</t>
  </si>
  <si>
    <t>3. Retrieve the Supplier name of the product with the highest Price.</t>
  </si>
  <si>
    <t>4. Find the Category of the product with the lowest Stock.</t>
  </si>
  <si>
    <t>5. Check if "Supplier_C" supplies any product in the "Electronics" category.</t>
  </si>
  <si>
    <t>6. Check if there is any product with a stock less than 100. If yes, find its name.</t>
  </si>
  <si>
    <t>Result</t>
  </si>
  <si>
    <t>7. Retrieve the Price of the product from the second row using HLOOKUP .</t>
  </si>
  <si>
    <t xml:space="preserve">8. Find the Product Name with ID 99 using INDEX-MATCH. </t>
  </si>
  <si>
    <t>ProductID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</si>
</sst>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b/>
      <sz val="11"/>
      <color theme="1"/>
      <name val="Calibri"/>
    </font>
    <font>
      <b/>
      <sz val="11"/>
      <color theme="1"/>
      <name val="Calibri"/>
      <scheme val="minor"/>
    </font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 applyFont="1" applyAlignment="1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/>
    <xf numFmtId="0" fontId="3" fillId="0" borderId="0" xfId="0" applyFont="1"/>
    <xf numFmtId="0" fontId="3" fillId="0" borderId="0" xfId="0" applyFont="1" applyAlignment="1"/>
    <xf numFmtId="0" fontId="4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F1000"/>
  <sheetViews>
    <sheetView tabSelected="1" workbookViewId="0">
      <selection activeCell="I29" sqref="I29"/>
    </sheetView>
  </sheetViews>
  <sheetFormatPr defaultColWidth="14.42578125" defaultRowHeight="15" customHeight="1" x14ac:dyDescent="0.25"/>
  <cols>
    <col min="1" max="1" width="10.5703125" customWidth="1"/>
    <col min="2" max="2" width="16.28515625" customWidth="1"/>
    <col min="3" max="3" width="18.140625" customWidth="1"/>
    <col min="4" max="5" width="8.7109375" customWidth="1"/>
    <col min="6" max="6" width="12" customWidth="1"/>
    <col min="7" max="7" width="8.7109375" customWidth="1"/>
    <col min="8" max="8" width="13.7109375" style="5" bestFit="1" customWidth="1"/>
    <col min="9" max="9" width="71.5703125" bestFit="1" customWidth="1"/>
    <col min="10" max="10" width="13.7109375" bestFit="1" customWidth="1"/>
    <col min="11" max="11" width="27.7109375" customWidth="1"/>
    <col min="12" max="12" width="13.5703125" customWidth="1"/>
    <col min="13" max="112" width="8.710937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I1" s="2" t="s">
        <v>114</v>
      </c>
    </row>
    <row r="2" spans="1:9" x14ac:dyDescent="0.25">
      <c r="A2" s="3">
        <v>1</v>
      </c>
      <c r="B2" s="3" t="s">
        <v>6</v>
      </c>
      <c r="C2" s="3" t="s">
        <v>7</v>
      </c>
      <c r="D2" s="3">
        <v>752</v>
      </c>
      <c r="E2" s="3">
        <v>231</v>
      </c>
      <c r="F2" s="3" t="s">
        <v>8</v>
      </c>
      <c r="H2" s="5" t="s">
        <v>0</v>
      </c>
      <c r="I2" s="4">
        <v>25</v>
      </c>
    </row>
    <row r="3" spans="1:9" x14ac:dyDescent="0.25">
      <c r="A3" s="3">
        <v>2</v>
      </c>
      <c r="B3" s="3" t="s">
        <v>9</v>
      </c>
      <c r="C3" s="3" t="s">
        <v>108</v>
      </c>
      <c r="D3" s="3">
        <v>451</v>
      </c>
      <c r="E3" s="3">
        <v>494</v>
      </c>
      <c r="F3" s="3" t="s">
        <v>8</v>
      </c>
      <c r="H3" s="5" t="s">
        <v>3</v>
      </c>
      <c r="I3" s="3">
        <f>VLOOKUP(I2,A1:F101,4,0)</f>
        <v>266</v>
      </c>
    </row>
    <row r="4" spans="1:9" x14ac:dyDescent="0.25">
      <c r="A4" s="3">
        <v>3</v>
      </c>
      <c r="B4" s="3" t="s">
        <v>10</v>
      </c>
      <c r="C4" s="3" t="s">
        <v>109</v>
      </c>
      <c r="D4" s="3">
        <v>779</v>
      </c>
      <c r="E4" s="3">
        <v>416</v>
      </c>
      <c r="F4" s="3" t="s">
        <v>111</v>
      </c>
    </row>
    <row r="5" spans="1:9" x14ac:dyDescent="0.25">
      <c r="A5" s="3">
        <v>4</v>
      </c>
      <c r="B5" s="3" t="s">
        <v>11</v>
      </c>
      <c r="C5" s="3" t="s">
        <v>7</v>
      </c>
      <c r="D5" s="3">
        <v>605</v>
      </c>
      <c r="E5" s="3">
        <v>240</v>
      </c>
      <c r="F5" s="3" t="s">
        <v>8</v>
      </c>
      <c r="I5" s="2" t="s">
        <v>115</v>
      </c>
    </row>
    <row r="6" spans="1:9" x14ac:dyDescent="0.25">
      <c r="A6" s="3">
        <v>5</v>
      </c>
      <c r="B6" s="3" t="s">
        <v>12</v>
      </c>
      <c r="C6" s="3" t="s">
        <v>7</v>
      </c>
      <c r="D6" s="3">
        <v>211</v>
      </c>
      <c r="E6" s="3">
        <v>246</v>
      </c>
      <c r="F6" s="3" t="s">
        <v>112</v>
      </c>
      <c r="H6" s="5" t="s">
        <v>1</v>
      </c>
      <c r="I6" s="4" t="s">
        <v>57</v>
      </c>
    </row>
    <row r="7" spans="1:9" x14ac:dyDescent="0.25">
      <c r="A7" s="3">
        <v>6</v>
      </c>
      <c r="B7" s="3" t="s">
        <v>13</v>
      </c>
      <c r="C7" s="3" t="s">
        <v>108</v>
      </c>
      <c r="D7" s="3">
        <v>251</v>
      </c>
      <c r="E7" s="3">
        <v>152</v>
      </c>
      <c r="F7" s="3" t="s">
        <v>8</v>
      </c>
      <c r="H7" s="5" t="s">
        <v>4</v>
      </c>
      <c r="I7" s="3">
        <f>VLOOKUP(I6,B1:F101,4,0)</f>
        <v>146</v>
      </c>
    </row>
    <row r="8" spans="1:9" x14ac:dyDescent="0.25">
      <c r="A8" s="3">
        <v>7</v>
      </c>
      <c r="B8" s="3" t="s">
        <v>14</v>
      </c>
      <c r="C8" s="3" t="s">
        <v>109</v>
      </c>
      <c r="D8" s="3">
        <v>319</v>
      </c>
      <c r="E8" s="3">
        <v>180</v>
      </c>
      <c r="F8" s="3" t="s">
        <v>113</v>
      </c>
    </row>
    <row r="9" spans="1:9" x14ac:dyDescent="0.25">
      <c r="A9" s="3">
        <v>8</v>
      </c>
      <c r="B9" s="3" t="s">
        <v>15</v>
      </c>
      <c r="C9" s="3" t="s">
        <v>109</v>
      </c>
      <c r="D9" s="3">
        <v>912</v>
      </c>
      <c r="E9" s="3">
        <v>38</v>
      </c>
      <c r="F9" s="3" t="s">
        <v>111</v>
      </c>
      <c r="I9" s="2" t="s">
        <v>116</v>
      </c>
    </row>
    <row r="10" spans="1:9" x14ac:dyDescent="0.25">
      <c r="A10" s="3">
        <v>9</v>
      </c>
      <c r="B10" s="3" t="s">
        <v>16</v>
      </c>
      <c r="C10" s="3" t="s">
        <v>7</v>
      </c>
      <c r="D10" s="3">
        <v>865</v>
      </c>
      <c r="E10" s="3">
        <v>45</v>
      </c>
      <c r="F10" s="3" t="s">
        <v>112</v>
      </c>
      <c r="H10" s="5" t="s">
        <v>5</v>
      </c>
      <c r="I10" s="3" t="str">
        <f>VLOOKUP(MAX(D1:D101),D1:F101,3,0)</f>
        <v>Supplier_C</v>
      </c>
    </row>
    <row r="11" spans="1:9" x14ac:dyDescent="0.25">
      <c r="A11" s="3">
        <v>10</v>
      </c>
      <c r="B11" s="3" t="s">
        <v>17</v>
      </c>
      <c r="C11" s="3" t="s">
        <v>110</v>
      </c>
      <c r="D11" s="3">
        <v>320</v>
      </c>
      <c r="E11" s="3">
        <v>22</v>
      </c>
      <c r="F11" s="3" t="s">
        <v>111</v>
      </c>
    </row>
    <row r="12" spans="1:9" x14ac:dyDescent="0.25">
      <c r="A12" s="3">
        <v>11</v>
      </c>
      <c r="B12" s="3" t="s">
        <v>18</v>
      </c>
      <c r="C12" s="3" t="s">
        <v>7</v>
      </c>
      <c r="D12" s="3">
        <v>505</v>
      </c>
      <c r="E12" s="3">
        <v>169</v>
      </c>
      <c r="F12" s="3" t="s">
        <v>113</v>
      </c>
      <c r="I12" s="2" t="s">
        <v>117</v>
      </c>
    </row>
    <row r="13" spans="1:9" x14ac:dyDescent="0.25">
      <c r="A13" s="3">
        <v>12</v>
      </c>
      <c r="B13" s="3" t="s">
        <v>19</v>
      </c>
      <c r="C13" s="3" t="s">
        <v>7</v>
      </c>
      <c r="D13" s="3">
        <v>511</v>
      </c>
      <c r="E13" s="3">
        <v>336</v>
      </c>
      <c r="F13" s="3" t="s">
        <v>113</v>
      </c>
      <c r="H13" s="5" t="s">
        <v>2</v>
      </c>
      <c r="I13" s="3" t="str">
        <f>_xlfn.XLOOKUP(MIN(E1:E101),E1:E101,C1:C101,0)</f>
        <v>Home Appliances</v>
      </c>
    </row>
    <row r="14" spans="1:9" x14ac:dyDescent="0.25">
      <c r="A14" s="3">
        <v>13</v>
      </c>
      <c r="B14" s="3" t="s">
        <v>20</v>
      </c>
      <c r="C14" s="3" t="s">
        <v>7</v>
      </c>
      <c r="D14" s="3">
        <v>776</v>
      </c>
      <c r="E14" s="3">
        <v>196</v>
      </c>
      <c r="F14" s="3" t="s">
        <v>113</v>
      </c>
    </row>
    <row r="15" spans="1:9" x14ac:dyDescent="0.25">
      <c r="A15" s="3">
        <v>14</v>
      </c>
      <c r="B15" s="3" t="s">
        <v>21</v>
      </c>
      <c r="C15" s="3" t="s">
        <v>7</v>
      </c>
      <c r="D15" s="3">
        <v>301</v>
      </c>
      <c r="E15" s="3">
        <v>252</v>
      </c>
      <c r="F15" s="3" t="s">
        <v>8</v>
      </c>
      <c r="I15" s="2" t="s">
        <v>118</v>
      </c>
    </row>
    <row r="16" spans="1:9" x14ac:dyDescent="0.25">
      <c r="A16" s="3">
        <v>15</v>
      </c>
      <c r="B16" s="3" t="s">
        <v>22</v>
      </c>
      <c r="C16" s="3" t="s">
        <v>108</v>
      </c>
      <c r="D16" s="3">
        <v>751</v>
      </c>
      <c r="E16" s="3">
        <v>95</v>
      </c>
      <c r="F16" s="3" t="s">
        <v>8</v>
      </c>
      <c r="H16" s="5" t="s">
        <v>5</v>
      </c>
      <c r="I16" s="4" t="s">
        <v>8</v>
      </c>
    </row>
    <row r="17" spans="1:110" x14ac:dyDescent="0.25">
      <c r="A17" s="3">
        <v>16</v>
      </c>
      <c r="B17" s="3" t="s">
        <v>23</v>
      </c>
      <c r="C17" s="3" t="s">
        <v>109</v>
      </c>
      <c r="D17" s="3">
        <v>345</v>
      </c>
      <c r="E17" s="3">
        <v>293</v>
      </c>
      <c r="F17" s="3" t="s">
        <v>111</v>
      </c>
      <c r="H17" s="5" t="s">
        <v>120</v>
      </c>
      <c r="I17" s="3" t="str">
        <f>IF(COUNTIFS(F1:F101,"Supplier_C",C1:C101,"Electronics")&gt;0,"Yes","No")</f>
        <v>Yes</v>
      </c>
    </row>
    <row r="18" spans="1:110" x14ac:dyDescent="0.25">
      <c r="A18" s="3">
        <v>17</v>
      </c>
      <c r="B18" s="3" t="s">
        <v>24</v>
      </c>
      <c r="C18" s="3" t="s">
        <v>108</v>
      </c>
      <c r="D18" s="3">
        <v>774</v>
      </c>
      <c r="E18" s="3">
        <v>75</v>
      </c>
      <c r="F18" s="3" t="s">
        <v>111</v>
      </c>
    </row>
    <row r="19" spans="1:110" x14ac:dyDescent="0.25">
      <c r="A19" s="3">
        <v>18</v>
      </c>
      <c r="B19" s="3" t="s">
        <v>25</v>
      </c>
      <c r="C19" s="3" t="s">
        <v>108</v>
      </c>
      <c r="D19" s="3">
        <v>769</v>
      </c>
      <c r="E19" s="3">
        <v>179</v>
      </c>
      <c r="F19" s="3" t="s">
        <v>112</v>
      </c>
      <c r="I19" s="2" t="s">
        <v>119</v>
      </c>
    </row>
    <row r="20" spans="1:110" x14ac:dyDescent="0.25">
      <c r="A20" s="3">
        <v>19</v>
      </c>
      <c r="B20" s="3" t="s">
        <v>26</v>
      </c>
      <c r="C20" s="3" t="s">
        <v>108</v>
      </c>
      <c r="D20" s="3">
        <v>798</v>
      </c>
      <c r="E20" s="3">
        <v>54</v>
      </c>
      <c r="F20" s="3" t="s">
        <v>112</v>
      </c>
      <c r="H20" s="5" t="s">
        <v>2</v>
      </c>
      <c r="I20" s="3" t="str">
        <f>IF(MIN(E1:E101)&lt;100,_xlfn.XLOOKUP(MIN(E1:E101),E1:E101,C1:C101,0),"No Stock is below 100")</f>
        <v>Home Appliances</v>
      </c>
    </row>
    <row r="21" spans="1:110" ht="15.75" customHeight="1" x14ac:dyDescent="0.25">
      <c r="A21" s="3">
        <v>20</v>
      </c>
      <c r="B21" s="3" t="s">
        <v>27</v>
      </c>
      <c r="C21" s="3" t="s">
        <v>7</v>
      </c>
      <c r="D21" s="3">
        <v>387</v>
      </c>
      <c r="E21" s="3">
        <v>71</v>
      </c>
      <c r="F21" s="3" t="s">
        <v>111</v>
      </c>
    </row>
    <row r="22" spans="1:110" ht="15.75" customHeight="1" x14ac:dyDescent="0.25">
      <c r="A22" s="3">
        <v>21</v>
      </c>
      <c r="B22" s="3" t="s">
        <v>28</v>
      </c>
      <c r="C22" s="3" t="s">
        <v>110</v>
      </c>
      <c r="D22" s="3">
        <v>928</v>
      </c>
      <c r="E22" s="3">
        <v>450</v>
      </c>
      <c r="F22" s="3" t="s">
        <v>8</v>
      </c>
      <c r="I22" s="5" t="s">
        <v>121</v>
      </c>
      <c r="J22" s="1" t="s">
        <v>1</v>
      </c>
      <c r="K22" s="3" t="s">
        <v>6</v>
      </c>
      <c r="L22" s="3" t="s">
        <v>9</v>
      </c>
      <c r="M22" s="3" t="s">
        <v>10</v>
      </c>
      <c r="N22" s="3" t="s">
        <v>11</v>
      </c>
      <c r="O22" s="3" t="s">
        <v>12</v>
      </c>
      <c r="P22" s="3" t="s">
        <v>13</v>
      </c>
      <c r="Q22" s="3" t="s">
        <v>14</v>
      </c>
      <c r="R22" s="3" t="s">
        <v>15</v>
      </c>
      <c r="S22" s="3" t="s">
        <v>16</v>
      </c>
      <c r="T22" s="3" t="s">
        <v>17</v>
      </c>
      <c r="U22" s="3" t="s">
        <v>18</v>
      </c>
      <c r="V22" s="3" t="s">
        <v>19</v>
      </c>
      <c r="W22" s="3" t="s">
        <v>20</v>
      </c>
      <c r="X22" s="3" t="s">
        <v>21</v>
      </c>
      <c r="Y22" s="3" t="s">
        <v>22</v>
      </c>
      <c r="Z22" s="3" t="s">
        <v>23</v>
      </c>
      <c r="AA22" s="3" t="s">
        <v>24</v>
      </c>
      <c r="AB22" s="3" t="s">
        <v>25</v>
      </c>
      <c r="AC22" s="3" t="s">
        <v>26</v>
      </c>
      <c r="AD22" s="3" t="s">
        <v>27</v>
      </c>
      <c r="AE22" s="3" t="s">
        <v>28</v>
      </c>
      <c r="AF22" s="3" t="s">
        <v>29</v>
      </c>
      <c r="AG22" s="3" t="s">
        <v>30</v>
      </c>
      <c r="AH22" s="3" t="s">
        <v>31</v>
      </c>
      <c r="AI22" s="3" t="s">
        <v>32</v>
      </c>
      <c r="AJ22" s="3" t="s">
        <v>33</v>
      </c>
      <c r="AK22" s="3" t="s">
        <v>34</v>
      </c>
      <c r="AL22" s="3" t="s">
        <v>35</v>
      </c>
      <c r="AM22" s="3" t="s">
        <v>36</v>
      </c>
      <c r="AN22" s="3" t="s">
        <v>37</v>
      </c>
      <c r="AO22" s="3" t="s">
        <v>38</v>
      </c>
      <c r="AP22" s="3" t="s">
        <v>39</v>
      </c>
      <c r="AQ22" s="3" t="s">
        <v>40</v>
      </c>
      <c r="AR22" s="3" t="s">
        <v>41</v>
      </c>
      <c r="AS22" s="3" t="s">
        <v>42</v>
      </c>
      <c r="AT22" s="3" t="s">
        <v>43</v>
      </c>
      <c r="AU22" s="3" t="s">
        <v>44</v>
      </c>
      <c r="AV22" s="3" t="s">
        <v>45</v>
      </c>
      <c r="AW22" s="3" t="s">
        <v>46</v>
      </c>
      <c r="AX22" s="3" t="s">
        <v>47</v>
      </c>
      <c r="AY22" s="3" t="s">
        <v>48</v>
      </c>
      <c r="AZ22" s="3" t="s">
        <v>49</v>
      </c>
      <c r="BA22" s="3" t="s">
        <v>50</v>
      </c>
      <c r="BB22" s="3" t="s">
        <v>51</v>
      </c>
      <c r="BC22" s="3" t="s">
        <v>52</v>
      </c>
      <c r="BD22" s="3" t="s">
        <v>53</v>
      </c>
      <c r="BE22" s="3" t="s">
        <v>54</v>
      </c>
      <c r="BF22" s="3" t="s">
        <v>55</v>
      </c>
      <c r="BG22" s="3" t="s">
        <v>56</v>
      </c>
      <c r="BH22" s="3" t="s">
        <v>57</v>
      </c>
      <c r="BI22" s="3" t="s">
        <v>58</v>
      </c>
      <c r="BJ22" s="3" t="s">
        <v>59</v>
      </c>
      <c r="BK22" s="3" t="s">
        <v>60</v>
      </c>
      <c r="BL22" s="3" t="s">
        <v>61</v>
      </c>
      <c r="BM22" s="3" t="s">
        <v>62</v>
      </c>
      <c r="BN22" s="3" t="s">
        <v>63</v>
      </c>
      <c r="BO22" s="3" t="s">
        <v>64</v>
      </c>
      <c r="BP22" s="3" t="s">
        <v>65</v>
      </c>
      <c r="BQ22" s="3" t="s">
        <v>66</v>
      </c>
      <c r="BR22" s="3" t="s">
        <v>67</v>
      </c>
      <c r="BS22" s="3" t="s">
        <v>68</v>
      </c>
      <c r="BT22" s="3" t="s">
        <v>69</v>
      </c>
      <c r="BU22" s="3" t="s">
        <v>70</v>
      </c>
      <c r="BV22" s="3" t="s">
        <v>71</v>
      </c>
      <c r="BW22" s="3" t="s">
        <v>72</v>
      </c>
      <c r="BX22" s="3" t="s">
        <v>73</v>
      </c>
      <c r="BY22" s="3" t="s">
        <v>74</v>
      </c>
      <c r="BZ22" s="3" t="s">
        <v>75</v>
      </c>
      <c r="CA22" s="3" t="s">
        <v>76</v>
      </c>
      <c r="CB22" s="3" t="s">
        <v>77</v>
      </c>
      <c r="CC22" s="3" t="s">
        <v>78</v>
      </c>
      <c r="CD22" s="3" t="s">
        <v>79</v>
      </c>
      <c r="CE22" s="3" t="s">
        <v>80</v>
      </c>
      <c r="CF22" s="3" t="s">
        <v>81</v>
      </c>
      <c r="CG22" s="3" t="s">
        <v>82</v>
      </c>
      <c r="CH22" s="3" t="s">
        <v>83</v>
      </c>
      <c r="CI22" s="3" t="s">
        <v>84</v>
      </c>
      <c r="CJ22" s="3" t="s">
        <v>85</v>
      </c>
      <c r="CK22" s="3" t="s">
        <v>86</v>
      </c>
      <c r="CL22" s="3" t="s">
        <v>87</v>
      </c>
      <c r="CM22" s="3" t="s">
        <v>88</v>
      </c>
      <c r="CN22" s="3" t="s">
        <v>89</v>
      </c>
      <c r="CO22" s="3" t="s">
        <v>90</v>
      </c>
      <c r="CP22" s="3" t="s">
        <v>91</v>
      </c>
      <c r="CQ22" s="3" t="s">
        <v>92</v>
      </c>
      <c r="CR22" s="3" t="s">
        <v>93</v>
      </c>
      <c r="CS22" s="3" t="s">
        <v>94</v>
      </c>
      <c r="CT22" s="3" t="s">
        <v>95</v>
      </c>
      <c r="CU22" s="3" t="s">
        <v>96</v>
      </c>
      <c r="CV22" s="3" t="s">
        <v>97</v>
      </c>
      <c r="CW22" s="3" t="s">
        <v>98</v>
      </c>
      <c r="CX22" s="3" t="s">
        <v>99</v>
      </c>
      <c r="CY22" s="3" t="s">
        <v>100</v>
      </c>
      <c r="CZ22" s="3" t="s">
        <v>101</v>
      </c>
      <c r="DA22" s="3" t="s">
        <v>102</v>
      </c>
      <c r="DB22" s="3" t="s">
        <v>103</v>
      </c>
      <c r="DC22" s="3" t="s">
        <v>104</v>
      </c>
      <c r="DD22" s="3" t="s">
        <v>105</v>
      </c>
      <c r="DE22" s="3" t="s">
        <v>106</v>
      </c>
      <c r="DF22" s="3" t="s">
        <v>107</v>
      </c>
    </row>
    <row r="23" spans="1:110" ht="15.75" customHeight="1" x14ac:dyDescent="0.25">
      <c r="A23" s="3">
        <v>22</v>
      </c>
      <c r="B23" s="3" t="s">
        <v>29</v>
      </c>
      <c r="C23" s="3" t="s">
        <v>109</v>
      </c>
      <c r="D23" s="3">
        <v>102</v>
      </c>
      <c r="E23" s="3">
        <v>143</v>
      </c>
      <c r="F23" s="3" t="s">
        <v>113</v>
      </c>
      <c r="J23" s="1" t="s">
        <v>2</v>
      </c>
      <c r="K23" s="3" t="s">
        <v>7</v>
      </c>
      <c r="L23" s="3" t="s">
        <v>108</v>
      </c>
      <c r="M23" s="3" t="s">
        <v>109</v>
      </c>
      <c r="N23" s="3" t="s">
        <v>7</v>
      </c>
      <c r="O23" s="3" t="s">
        <v>7</v>
      </c>
      <c r="P23" s="3" t="s">
        <v>108</v>
      </c>
      <c r="Q23" s="3" t="s">
        <v>109</v>
      </c>
      <c r="R23" s="3" t="s">
        <v>109</v>
      </c>
      <c r="S23" s="3" t="s">
        <v>7</v>
      </c>
      <c r="T23" s="3" t="s">
        <v>110</v>
      </c>
      <c r="U23" s="3" t="s">
        <v>7</v>
      </c>
      <c r="V23" s="3" t="s">
        <v>7</v>
      </c>
      <c r="W23" s="3" t="s">
        <v>7</v>
      </c>
      <c r="X23" s="3" t="s">
        <v>7</v>
      </c>
      <c r="Y23" s="3" t="s">
        <v>108</v>
      </c>
      <c r="Z23" s="3" t="s">
        <v>109</v>
      </c>
      <c r="AA23" s="3" t="s">
        <v>108</v>
      </c>
      <c r="AB23" s="3" t="s">
        <v>108</v>
      </c>
      <c r="AC23" s="3" t="s">
        <v>108</v>
      </c>
      <c r="AD23" s="3" t="s">
        <v>7</v>
      </c>
      <c r="AE23" s="3" t="s">
        <v>110</v>
      </c>
      <c r="AF23" s="3" t="s">
        <v>109</v>
      </c>
      <c r="AG23" s="3" t="s">
        <v>110</v>
      </c>
      <c r="AH23" s="3" t="s">
        <v>108</v>
      </c>
      <c r="AI23" s="3" t="s">
        <v>108</v>
      </c>
      <c r="AJ23" s="3" t="s">
        <v>110</v>
      </c>
      <c r="AK23" s="3" t="s">
        <v>110</v>
      </c>
      <c r="AL23" s="3" t="s">
        <v>110</v>
      </c>
      <c r="AM23" s="3" t="s">
        <v>108</v>
      </c>
      <c r="AN23" s="3" t="s">
        <v>108</v>
      </c>
      <c r="AO23" s="3" t="s">
        <v>109</v>
      </c>
      <c r="AP23" s="3" t="s">
        <v>109</v>
      </c>
      <c r="AQ23" s="3" t="s">
        <v>108</v>
      </c>
      <c r="AR23" s="3" t="s">
        <v>110</v>
      </c>
      <c r="AS23" s="3" t="s">
        <v>110</v>
      </c>
      <c r="AT23" s="3" t="s">
        <v>109</v>
      </c>
      <c r="AU23" s="3" t="s">
        <v>108</v>
      </c>
      <c r="AV23" s="3" t="s">
        <v>109</v>
      </c>
      <c r="AW23" s="3" t="s">
        <v>109</v>
      </c>
      <c r="AX23" s="3" t="s">
        <v>7</v>
      </c>
      <c r="AY23" s="3" t="s">
        <v>7</v>
      </c>
      <c r="AZ23" s="3" t="s">
        <v>7</v>
      </c>
      <c r="BA23" s="3" t="s">
        <v>110</v>
      </c>
      <c r="BB23" s="3" t="s">
        <v>108</v>
      </c>
      <c r="BC23" s="3" t="s">
        <v>108</v>
      </c>
      <c r="BD23" s="3" t="s">
        <v>108</v>
      </c>
      <c r="BE23" s="3" t="s">
        <v>108</v>
      </c>
      <c r="BF23" s="3" t="s">
        <v>7</v>
      </c>
      <c r="BG23" s="3" t="s">
        <v>110</v>
      </c>
      <c r="BH23" s="3" t="s">
        <v>110</v>
      </c>
      <c r="BI23" s="3" t="s">
        <v>7</v>
      </c>
      <c r="BJ23" s="3" t="s">
        <v>110</v>
      </c>
      <c r="BK23" s="3" t="s">
        <v>7</v>
      </c>
      <c r="BL23" s="3" t="s">
        <v>108</v>
      </c>
      <c r="BM23" s="3" t="s">
        <v>7</v>
      </c>
      <c r="BN23" s="3" t="s">
        <v>108</v>
      </c>
      <c r="BO23" s="3" t="s">
        <v>108</v>
      </c>
      <c r="BP23" s="3" t="s">
        <v>109</v>
      </c>
      <c r="BQ23" s="3" t="s">
        <v>7</v>
      </c>
      <c r="BR23" s="3" t="s">
        <v>109</v>
      </c>
      <c r="BS23" s="3" t="s">
        <v>7</v>
      </c>
      <c r="BT23" s="3" t="s">
        <v>7</v>
      </c>
      <c r="BU23" s="3" t="s">
        <v>109</v>
      </c>
      <c r="BV23" s="3" t="s">
        <v>109</v>
      </c>
      <c r="BW23" s="3" t="s">
        <v>7</v>
      </c>
      <c r="BX23" s="3" t="s">
        <v>110</v>
      </c>
      <c r="BY23" s="3" t="s">
        <v>108</v>
      </c>
      <c r="BZ23" s="3" t="s">
        <v>109</v>
      </c>
      <c r="CA23" s="3" t="s">
        <v>108</v>
      </c>
      <c r="CB23" s="3" t="s">
        <v>110</v>
      </c>
      <c r="CC23" s="3" t="s">
        <v>110</v>
      </c>
      <c r="CD23" s="3" t="s">
        <v>110</v>
      </c>
      <c r="CE23" s="3" t="s">
        <v>109</v>
      </c>
      <c r="CF23" s="3" t="s">
        <v>110</v>
      </c>
      <c r="CG23" s="3" t="s">
        <v>109</v>
      </c>
      <c r="CH23" s="3" t="s">
        <v>110</v>
      </c>
      <c r="CI23" s="3" t="s">
        <v>108</v>
      </c>
      <c r="CJ23" s="3" t="s">
        <v>108</v>
      </c>
      <c r="CK23" s="3" t="s">
        <v>7</v>
      </c>
      <c r="CL23" s="3" t="s">
        <v>108</v>
      </c>
      <c r="CM23" s="3" t="s">
        <v>7</v>
      </c>
      <c r="CN23" s="3" t="s">
        <v>108</v>
      </c>
      <c r="CO23" s="3" t="s">
        <v>109</v>
      </c>
      <c r="CP23" s="3" t="s">
        <v>108</v>
      </c>
      <c r="CQ23" s="3" t="s">
        <v>7</v>
      </c>
      <c r="CR23" s="3" t="s">
        <v>7</v>
      </c>
      <c r="CS23" s="3" t="s">
        <v>110</v>
      </c>
      <c r="CT23" s="3" t="s">
        <v>109</v>
      </c>
      <c r="CU23" s="3" t="s">
        <v>108</v>
      </c>
      <c r="CV23" s="3" t="s">
        <v>110</v>
      </c>
      <c r="CW23" s="3" t="s">
        <v>108</v>
      </c>
      <c r="CX23" s="3" t="s">
        <v>108</v>
      </c>
      <c r="CY23" s="3" t="s">
        <v>110</v>
      </c>
      <c r="CZ23" s="3" t="s">
        <v>110</v>
      </c>
      <c r="DA23" s="3" t="s">
        <v>110</v>
      </c>
      <c r="DB23" s="3" t="s">
        <v>110</v>
      </c>
      <c r="DC23" s="3" t="s">
        <v>110</v>
      </c>
      <c r="DD23" s="3" t="s">
        <v>108</v>
      </c>
      <c r="DE23" s="3" t="s">
        <v>110</v>
      </c>
      <c r="DF23" s="3" t="s">
        <v>109</v>
      </c>
    </row>
    <row r="24" spans="1:110" ht="15.75" customHeight="1" x14ac:dyDescent="0.25">
      <c r="A24" s="3">
        <v>23</v>
      </c>
      <c r="B24" s="3" t="s">
        <v>30</v>
      </c>
      <c r="C24" s="3" t="s">
        <v>110</v>
      </c>
      <c r="D24" s="3">
        <v>841</v>
      </c>
      <c r="E24" s="3">
        <v>293</v>
      </c>
      <c r="F24" s="3" t="s">
        <v>111</v>
      </c>
      <c r="J24" s="1" t="s">
        <v>3</v>
      </c>
      <c r="K24" s="3">
        <v>752</v>
      </c>
      <c r="L24" s="3">
        <v>451</v>
      </c>
      <c r="M24" s="3">
        <v>779</v>
      </c>
      <c r="N24" s="3">
        <v>605</v>
      </c>
      <c r="O24" s="3">
        <v>211</v>
      </c>
      <c r="P24" s="3">
        <v>251</v>
      </c>
      <c r="Q24" s="3">
        <v>319</v>
      </c>
      <c r="R24" s="3">
        <v>912</v>
      </c>
      <c r="S24" s="3">
        <v>865</v>
      </c>
      <c r="T24" s="3">
        <v>320</v>
      </c>
      <c r="U24" s="3">
        <v>505</v>
      </c>
      <c r="V24" s="3">
        <v>511</v>
      </c>
      <c r="W24" s="3">
        <v>776</v>
      </c>
      <c r="X24" s="3">
        <v>301</v>
      </c>
      <c r="Y24" s="3">
        <v>751</v>
      </c>
      <c r="Z24" s="3">
        <v>345</v>
      </c>
      <c r="AA24" s="3">
        <v>774</v>
      </c>
      <c r="AB24" s="3">
        <v>769</v>
      </c>
      <c r="AC24" s="3">
        <v>798</v>
      </c>
      <c r="AD24" s="3">
        <v>387</v>
      </c>
      <c r="AE24" s="3">
        <v>928</v>
      </c>
      <c r="AF24" s="3">
        <v>102</v>
      </c>
      <c r="AG24" s="3">
        <v>841</v>
      </c>
      <c r="AH24" s="3">
        <v>971</v>
      </c>
      <c r="AI24" s="3">
        <v>266</v>
      </c>
      <c r="AJ24" s="3">
        <v>813</v>
      </c>
      <c r="AK24" s="3">
        <v>237</v>
      </c>
      <c r="AL24" s="3">
        <v>429</v>
      </c>
      <c r="AM24" s="3">
        <v>542</v>
      </c>
      <c r="AN24" s="3">
        <v>90</v>
      </c>
      <c r="AO24" s="3">
        <v>206</v>
      </c>
      <c r="AP24" s="3">
        <v>64</v>
      </c>
      <c r="AQ24" s="3">
        <v>862</v>
      </c>
      <c r="AR24" s="3">
        <v>114</v>
      </c>
      <c r="AS24" s="3">
        <v>906</v>
      </c>
      <c r="AT24" s="3">
        <v>888</v>
      </c>
      <c r="AU24" s="3">
        <v>570</v>
      </c>
      <c r="AV24" s="3">
        <v>393</v>
      </c>
      <c r="AW24" s="3">
        <v>178</v>
      </c>
      <c r="AX24" s="3">
        <v>697</v>
      </c>
      <c r="AY24" s="3">
        <v>521</v>
      </c>
      <c r="AZ24" s="3">
        <v>112</v>
      </c>
      <c r="BA24" s="3">
        <v>188</v>
      </c>
      <c r="BB24" s="3">
        <v>548</v>
      </c>
      <c r="BC24" s="3">
        <v>642</v>
      </c>
      <c r="BD24" s="3">
        <v>441</v>
      </c>
      <c r="BE24" s="3">
        <v>724</v>
      </c>
      <c r="BF24" s="3">
        <v>468</v>
      </c>
      <c r="BG24" s="3">
        <v>338</v>
      </c>
      <c r="BH24" s="3">
        <v>428</v>
      </c>
      <c r="BI24" s="3">
        <v>822</v>
      </c>
      <c r="BJ24" s="3">
        <v>539</v>
      </c>
      <c r="BK24" s="3">
        <v>280</v>
      </c>
      <c r="BL24" s="3">
        <v>90</v>
      </c>
      <c r="BM24" s="3">
        <v>77</v>
      </c>
      <c r="BN24" s="3">
        <v>184</v>
      </c>
      <c r="BO24" s="3">
        <v>250</v>
      </c>
      <c r="BP24" s="3">
        <v>889</v>
      </c>
      <c r="BQ24" s="3">
        <v>829</v>
      </c>
      <c r="BR24" s="3">
        <v>979</v>
      </c>
      <c r="BS24" s="3">
        <v>82</v>
      </c>
      <c r="BT24" s="3">
        <v>97</v>
      </c>
      <c r="BU24" s="3">
        <v>552</v>
      </c>
      <c r="BV24" s="3">
        <v>456</v>
      </c>
      <c r="BW24" s="3">
        <v>623</v>
      </c>
      <c r="BX24" s="3">
        <v>777</v>
      </c>
      <c r="BY24" s="3">
        <v>854</v>
      </c>
      <c r="BZ24" s="3">
        <v>148</v>
      </c>
      <c r="CA24" s="3">
        <v>733</v>
      </c>
      <c r="CB24" s="3">
        <v>921</v>
      </c>
      <c r="CC24" s="3">
        <v>775</v>
      </c>
      <c r="CD24" s="3">
        <v>596</v>
      </c>
      <c r="CE24" s="3">
        <v>788</v>
      </c>
      <c r="CF24" s="3">
        <v>662</v>
      </c>
      <c r="CG24" s="3">
        <v>992</v>
      </c>
      <c r="CH24" s="3">
        <v>511</v>
      </c>
      <c r="CI24" s="3">
        <v>692</v>
      </c>
      <c r="CJ24" s="3">
        <v>818</v>
      </c>
      <c r="CK24" s="3">
        <v>54</v>
      </c>
      <c r="CL24" s="3">
        <v>267</v>
      </c>
      <c r="CM24" s="3">
        <v>552</v>
      </c>
      <c r="CN24" s="3">
        <v>816</v>
      </c>
      <c r="CO24" s="3">
        <v>447</v>
      </c>
      <c r="CP24" s="3">
        <v>920</v>
      </c>
      <c r="CQ24" s="3">
        <v>844</v>
      </c>
      <c r="CR24" s="3">
        <v>442</v>
      </c>
      <c r="CS24" s="3">
        <v>256</v>
      </c>
      <c r="CT24" s="3">
        <v>64</v>
      </c>
      <c r="CU24" s="3">
        <v>907</v>
      </c>
      <c r="CV24" s="3">
        <v>603</v>
      </c>
      <c r="CW24" s="3">
        <v>941</v>
      </c>
      <c r="CX24" s="3">
        <v>510</v>
      </c>
      <c r="CY24" s="3">
        <v>740</v>
      </c>
      <c r="CZ24" s="3">
        <v>624</v>
      </c>
      <c r="DA24" s="3">
        <v>913</v>
      </c>
      <c r="DB24" s="3">
        <v>792</v>
      </c>
      <c r="DC24" s="3">
        <v>290</v>
      </c>
      <c r="DD24" s="3">
        <v>613</v>
      </c>
      <c r="DE24" s="3">
        <v>145</v>
      </c>
      <c r="DF24" s="3">
        <v>949</v>
      </c>
    </row>
    <row r="25" spans="1:110" ht="15.75" customHeight="1" x14ac:dyDescent="0.25">
      <c r="A25" s="3">
        <v>24</v>
      </c>
      <c r="B25" s="3" t="s">
        <v>31</v>
      </c>
      <c r="C25" s="3" t="s">
        <v>108</v>
      </c>
      <c r="D25" s="3">
        <v>971</v>
      </c>
      <c r="E25" s="3">
        <v>37</v>
      </c>
      <c r="F25" s="3" t="s">
        <v>112</v>
      </c>
    </row>
    <row r="26" spans="1:110" ht="15.75" customHeight="1" x14ac:dyDescent="0.25">
      <c r="A26" s="3">
        <v>25</v>
      </c>
      <c r="B26" s="3" t="s">
        <v>32</v>
      </c>
      <c r="C26" s="3" t="s">
        <v>108</v>
      </c>
      <c r="D26" s="3">
        <v>266</v>
      </c>
      <c r="E26" s="3">
        <v>117</v>
      </c>
      <c r="F26" s="3" t="s">
        <v>8</v>
      </c>
      <c r="J26" s="2" t="s">
        <v>71</v>
      </c>
      <c r="K26" s="2" t="s">
        <v>3</v>
      </c>
    </row>
    <row r="27" spans="1:110" ht="15.75" customHeight="1" x14ac:dyDescent="0.25">
      <c r="A27" s="3">
        <v>26</v>
      </c>
      <c r="B27" s="3" t="s">
        <v>33</v>
      </c>
      <c r="C27" s="3" t="s">
        <v>110</v>
      </c>
      <c r="D27" s="3">
        <v>813</v>
      </c>
      <c r="E27" s="3">
        <v>53</v>
      </c>
      <c r="F27" s="3" t="s">
        <v>111</v>
      </c>
      <c r="K27" s="3">
        <f>HLOOKUP(J26,$J22:$DF24,3,0)</f>
        <v>456</v>
      </c>
    </row>
    <row r="28" spans="1:110" ht="15.75" customHeight="1" x14ac:dyDescent="0.25">
      <c r="A28" s="3">
        <v>27</v>
      </c>
      <c r="B28" s="3" t="s">
        <v>34</v>
      </c>
      <c r="C28" s="3" t="s">
        <v>110</v>
      </c>
      <c r="D28" s="3">
        <v>237</v>
      </c>
      <c r="E28" s="3">
        <v>349</v>
      </c>
      <c r="F28" s="3" t="s">
        <v>111</v>
      </c>
    </row>
    <row r="29" spans="1:110" ht="15.75" customHeight="1" x14ac:dyDescent="0.25">
      <c r="A29" s="3">
        <v>28</v>
      </c>
      <c r="B29" s="3" t="s">
        <v>35</v>
      </c>
      <c r="C29" s="3" t="s">
        <v>110</v>
      </c>
      <c r="D29" s="3">
        <v>429</v>
      </c>
      <c r="E29" s="3">
        <v>295</v>
      </c>
      <c r="F29" s="3" t="s">
        <v>8</v>
      </c>
      <c r="I29" s="5" t="s">
        <v>122</v>
      </c>
    </row>
    <row r="30" spans="1:110" ht="15.75" customHeight="1" x14ac:dyDescent="0.25">
      <c r="A30" s="3">
        <v>29</v>
      </c>
      <c r="B30" s="3" t="s">
        <v>36</v>
      </c>
      <c r="C30" s="3" t="s">
        <v>108</v>
      </c>
      <c r="D30" s="3">
        <v>542</v>
      </c>
      <c r="E30" s="3">
        <v>455</v>
      </c>
      <c r="F30" s="3" t="s">
        <v>111</v>
      </c>
      <c r="H30" s="5" t="s">
        <v>123</v>
      </c>
      <c r="I30" s="4">
        <v>99</v>
      </c>
    </row>
    <row r="31" spans="1:110" ht="15.75" customHeight="1" x14ac:dyDescent="0.25">
      <c r="A31" s="3">
        <v>30</v>
      </c>
      <c r="B31" s="3" t="s">
        <v>37</v>
      </c>
      <c r="C31" s="3" t="s">
        <v>108</v>
      </c>
      <c r="D31" s="3">
        <v>90</v>
      </c>
      <c r="E31" s="3">
        <v>340</v>
      </c>
      <c r="F31" s="3" t="s">
        <v>8</v>
      </c>
      <c r="H31" s="5" t="s">
        <v>1</v>
      </c>
      <c r="I31" s="3" t="str">
        <f>INDEX(B1:B101,MATCH(I30,A1:A101,0))</f>
        <v>Product_99</v>
      </c>
    </row>
    <row r="32" spans="1:110" ht="15.75" customHeight="1" x14ac:dyDescent="0.25">
      <c r="A32" s="3">
        <v>31</v>
      </c>
      <c r="B32" s="3" t="s">
        <v>38</v>
      </c>
      <c r="C32" s="3" t="s">
        <v>109</v>
      </c>
      <c r="D32" s="3">
        <v>206</v>
      </c>
      <c r="E32" s="3">
        <v>137</v>
      </c>
      <c r="F32" s="3" t="s">
        <v>113</v>
      </c>
    </row>
    <row r="33" spans="1:6" ht="15.75" customHeight="1" x14ac:dyDescent="0.25">
      <c r="A33" s="3">
        <v>32</v>
      </c>
      <c r="B33" s="3" t="s">
        <v>39</v>
      </c>
      <c r="C33" s="3" t="s">
        <v>109</v>
      </c>
      <c r="D33" s="3">
        <v>64</v>
      </c>
      <c r="E33" s="3">
        <v>357</v>
      </c>
      <c r="F33" s="3" t="s">
        <v>8</v>
      </c>
    </row>
    <row r="34" spans="1:6" ht="15.75" customHeight="1" x14ac:dyDescent="0.25">
      <c r="A34" s="3">
        <v>33</v>
      </c>
      <c r="B34" s="3" t="s">
        <v>40</v>
      </c>
      <c r="C34" s="3" t="s">
        <v>108</v>
      </c>
      <c r="D34" s="3">
        <v>862</v>
      </c>
      <c r="E34" s="3">
        <v>482</v>
      </c>
      <c r="F34" s="3" t="s">
        <v>8</v>
      </c>
    </row>
    <row r="35" spans="1:6" ht="15.75" customHeight="1" x14ac:dyDescent="0.25">
      <c r="A35" s="3">
        <v>34</v>
      </c>
      <c r="B35" s="3" t="s">
        <v>41</v>
      </c>
      <c r="C35" s="3" t="s">
        <v>110</v>
      </c>
      <c r="D35" s="3">
        <v>114</v>
      </c>
      <c r="E35" s="3">
        <v>240</v>
      </c>
      <c r="F35" s="3" t="s">
        <v>8</v>
      </c>
    </row>
    <row r="36" spans="1:6" ht="15.75" customHeight="1" x14ac:dyDescent="0.25">
      <c r="A36" s="3">
        <v>35</v>
      </c>
      <c r="B36" s="3" t="s">
        <v>42</v>
      </c>
      <c r="C36" s="3" t="s">
        <v>110</v>
      </c>
      <c r="D36" s="3">
        <v>906</v>
      </c>
      <c r="E36" s="3">
        <v>199</v>
      </c>
      <c r="F36" s="3" t="s">
        <v>111</v>
      </c>
    </row>
    <row r="37" spans="1:6" ht="15.75" customHeight="1" x14ac:dyDescent="0.25">
      <c r="A37" s="3">
        <v>36</v>
      </c>
      <c r="B37" s="3" t="s">
        <v>43</v>
      </c>
      <c r="C37" s="3" t="s">
        <v>109</v>
      </c>
      <c r="D37" s="3">
        <v>888</v>
      </c>
      <c r="E37" s="3">
        <v>234</v>
      </c>
      <c r="F37" s="3" t="s">
        <v>111</v>
      </c>
    </row>
    <row r="38" spans="1:6" ht="15.75" customHeight="1" x14ac:dyDescent="0.25">
      <c r="A38" s="3">
        <v>37</v>
      </c>
      <c r="B38" s="3" t="s">
        <v>44</v>
      </c>
      <c r="C38" s="3" t="s">
        <v>108</v>
      </c>
      <c r="D38" s="3">
        <v>570</v>
      </c>
      <c r="E38" s="3">
        <v>394</v>
      </c>
      <c r="F38" s="3" t="s">
        <v>8</v>
      </c>
    </row>
    <row r="39" spans="1:6" ht="15.75" customHeight="1" x14ac:dyDescent="0.25">
      <c r="A39" s="3">
        <v>38</v>
      </c>
      <c r="B39" s="3" t="s">
        <v>45</v>
      </c>
      <c r="C39" s="3" t="s">
        <v>109</v>
      </c>
      <c r="D39" s="3">
        <v>393</v>
      </c>
      <c r="E39" s="3">
        <v>386</v>
      </c>
      <c r="F39" s="3" t="s">
        <v>111</v>
      </c>
    </row>
    <row r="40" spans="1:6" ht="15.75" customHeight="1" x14ac:dyDescent="0.25">
      <c r="A40" s="3">
        <v>39</v>
      </c>
      <c r="B40" s="3" t="s">
        <v>46</v>
      </c>
      <c r="C40" s="3" t="s">
        <v>109</v>
      </c>
      <c r="D40" s="3">
        <v>178</v>
      </c>
      <c r="E40" s="3">
        <v>292</v>
      </c>
      <c r="F40" s="3" t="s">
        <v>112</v>
      </c>
    </row>
    <row r="41" spans="1:6" ht="15.75" customHeight="1" x14ac:dyDescent="0.25">
      <c r="A41" s="3">
        <v>40</v>
      </c>
      <c r="B41" s="3" t="s">
        <v>47</v>
      </c>
      <c r="C41" s="3" t="s">
        <v>7</v>
      </c>
      <c r="D41" s="3">
        <v>697</v>
      </c>
      <c r="E41" s="3">
        <v>455</v>
      </c>
      <c r="F41" s="3" t="s">
        <v>112</v>
      </c>
    </row>
    <row r="42" spans="1:6" ht="15.75" customHeight="1" x14ac:dyDescent="0.25">
      <c r="A42" s="3">
        <v>41</v>
      </c>
      <c r="B42" s="3" t="s">
        <v>48</v>
      </c>
      <c r="C42" s="3" t="s">
        <v>7</v>
      </c>
      <c r="D42" s="3">
        <v>521</v>
      </c>
      <c r="E42" s="3">
        <v>130</v>
      </c>
      <c r="F42" s="3" t="s">
        <v>111</v>
      </c>
    </row>
    <row r="43" spans="1:6" ht="15.75" customHeight="1" x14ac:dyDescent="0.25">
      <c r="A43" s="3">
        <v>42</v>
      </c>
      <c r="B43" s="3" t="s">
        <v>49</v>
      </c>
      <c r="C43" s="3" t="s">
        <v>7</v>
      </c>
      <c r="D43" s="3">
        <v>112</v>
      </c>
      <c r="E43" s="3">
        <v>125</v>
      </c>
      <c r="F43" s="3" t="s">
        <v>111</v>
      </c>
    </row>
    <row r="44" spans="1:6" ht="15.75" customHeight="1" x14ac:dyDescent="0.25">
      <c r="A44" s="3">
        <v>43</v>
      </c>
      <c r="B44" s="3" t="s">
        <v>50</v>
      </c>
      <c r="C44" s="3" t="s">
        <v>110</v>
      </c>
      <c r="D44" s="3">
        <v>188</v>
      </c>
      <c r="E44" s="3">
        <v>470</v>
      </c>
      <c r="F44" s="3" t="s">
        <v>8</v>
      </c>
    </row>
    <row r="45" spans="1:6" ht="15.75" customHeight="1" x14ac:dyDescent="0.25">
      <c r="A45" s="3">
        <v>44</v>
      </c>
      <c r="B45" s="3" t="s">
        <v>51</v>
      </c>
      <c r="C45" s="3" t="s">
        <v>108</v>
      </c>
      <c r="D45" s="3">
        <v>548</v>
      </c>
      <c r="E45" s="3">
        <v>242</v>
      </c>
      <c r="F45" s="3" t="s">
        <v>113</v>
      </c>
    </row>
    <row r="46" spans="1:6" ht="15.75" customHeight="1" x14ac:dyDescent="0.25">
      <c r="A46" s="3">
        <v>45</v>
      </c>
      <c r="B46" s="3" t="s">
        <v>52</v>
      </c>
      <c r="C46" s="3" t="s">
        <v>108</v>
      </c>
      <c r="D46" s="3">
        <v>642</v>
      </c>
      <c r="E46" s="3">
        <v>268</v>
      </c>
      <c r="F46" s="3" t="s">
        <v>111</v>
      </c>
    </row>
    <row r="47" spans="1:6" ht="15.75" customHeight="1" x14ac:dyDescent="0.25">
      <c r="A47" s="3">
        <v>46</v>
      </c>
      <c r="B47" s="3" t="s">
        <v>53</v>
      </c>
      <c r="C47" s="3" t="s">
        <v>108</v>
      </c>
      <c r="D47" s="3">
        <v>441</v>
      </c>
      <c r="E47" s="3">
        <v>368</v>
      </c>
      <c r="F47" s="3" t="s">
        <v>112</v>
      </c>
    </row>
    <row r="48" spans="1:6" ht="15.75" customHeight="1" x14ac:dyDescent="0.25">
      <c r="A48" s="3">
        <v>47</v>
      </c>
      <c r="B48" s="3" t="s">
        <v>54</v>
      </c>
      <c r="C48" s="3" t="s">
        <v>108</v>
      </c>
      <c r="D48" s="3">
        <v>724</v>
      </c>
      <c r="E48" s="3">
        <v>207</v>
      </c>
      <c r="F48" s="3" t="s">
        <v>8</v>
      </c>
    </row>
    <row r="49" spans="1:6" ht="15.75" customHeight="1" x14ac:dyDescent="0.25">
      <c r="A49" s="3">
        <v>48</v>
      </c>
      <c r="B49" s="3" t="s">
        <v>55</v>
      </c>
      <c r="C49" s="3" t="s">
        <v>7</v>
      </c>
      <c r="D49" s="3">
        <v>468</v>
      </c>
      <c r="E49" s="3">
        <v>465</v>
      </c>
      <c r="F49" s="3" t="s">
        <v>111</v>
      </c>
    </row>
    <row r="50" spans="1:6" ht="15.75" customHeight="1" x14ac:dyDescent="0.25">
      <c r="A50" s="3">
        <v>49</v>
      </c>
      <c r="B50" s="3" t="s">
        <v>56</v>
      </c>
      <c r="C50" s="3" t="s">
        <v>110</v>
      </c>
      <c r="D50" s="3">
        <v>338</v>
      </c>
      <c r="E50" s="3">
        <v>420</v>
      </c>
      <c r="F50" s="3" t="s">
        <v>112</v>
      </c>
    </row>
    <row r="51" spans="1:6" ht="15.75" customHeight="1" x14ac:dyDescent="0.25">
      <c r="A51" s="3">
        <v>50</v>
      </c>
      <c r="B51" s="3" t="s">
        <v>57</v>
      </c>
      <c r="C51" s="3" t="s">
        <v>110</v>
      </c>
      <c r="D51" s="3">
        <v>428</v>
      </c>
      <c r="E51" s="3">
        <v>146</v>
      </c>
      <c r="F51" s="3" t="s">
        <v>112</v>
      </c>
    </row>
    <row r="52" spans="1:6" ht="15.75" customHeight="1" x14ac:dyDescent="0.25">
      <c r="A52" s="3">
        <v>51</v>
      </c>
      <c r="B52" s="3" t="s">
        <v>58</v>
      </c>
      <c r="C52" s="3" t="s">
        <v>7</v>
      </c>
      <c r="D52" s="3">
        <v>822</v>
      </c>
      <c r="E52" s="3">
        <v>327</v>
      </c>
      <c r="F52" s="3" t="s">
        <v>113</v>
      </c>
    </row>
    <row r="53" spans="1:6" ht="15.75" customHeight="1" x14ac:dyDescent="0.25">
      <c r="A53" s="3">
        <v>52</v>
      </c>
      <c r="B53" s="3" t="s">
        <v>59</v>
      </c>
      <c r="C53" s="3" t="s">
        <v>110</v>
      </c>
      <c r="D53" s="3">
        <v>539</v>
      </c>
      <c r="E53" s="3">
        <v>174</v>
      </c>
      <c r="F53" s="3" t="s">
        <v>8</v>
      </c>
    </row>
    <row r="54" spans="1:6" ht="15.75" customHeight="1" x14ac:dyDescent="0.25">
      <c r="A54" s="3">
        <v>53</v>
      </c>
      <c r="B54" s="3" t="s">
        <v>60</v>
      </c>
      <c r="C54" s="3" t="s">
        <v>7</v>
      </c>
      <c r="D54" s="3">
        <v>280</v>
      </c>
      <c r="E54" s="3">
        <v>234</v>
      </c>
      <c r="F54" s="3" t="s">
        <v>8</v>
      </c>
    </row>
    <row r="55" spans="1:6" ht="15.75" customHeight="1" x14ac:dyDescent="0.25">
      <c r="A55" s="3">
        <v>54</v>
      </c>
      <c r="B55" s="3" t="s">
        <v>61</v>
      </c>
      <c r="C55" s="3" t="s">
        <v>108</v>
      </c>
      <c r="D55" s="3">
        <v>90</v>
      </c>
      <c r="E55" s="3">
        <v>316</v>
      </c>
      <c r="F55" s="3" t="s">
        <v>113</v>
      </c>
    </row>
    <row r="56" spans="1:6" ht="15.75" customHeight="1" x14ac:dyDescent="0.25">
      <c r="A56" s="3">
        <v>55</v>
      </c>
      <c r="B56" s="3" t="s">
        <v>62</v>
      </c>
      <c r="C56" s="3" t="s">
        <v>7</v>
      </c>
      <c r="D56" s="3">
        <v>77</v>
      </c>
      <c r="E56" s="3">
        <v>243</v>
      </c>
      <c r="F56" s="3" t="s">
        <v>113</v>
      </c>
    </row>
    <row r="57" spans="1:6" ht="15.75" customHeight="1" x14ac:dyDescent="0.25">
      <c r="A57" s="3">
        <v>56</v>
      </c>
      <c r="B57" s="3" t="s">
        <v>63</v>
      </c>
      <c r="C57" s="3" t="s">
        <v>108</v>
      </c>
      <c r="D57" s="3">
        <v>184</v>
      </c>
      <c r="E57" s="3">
        <v>181</v>
      </c>
      <c r="F57" s="3" t="s">
        <v>8</v>
      </c>
    </row>
    <row r="58" spans="1:6" ht="15.75" customHeight="1" x14ac:dyDescent="0.25">
      <c r="A58" s="3">
        <v>57</v>
      </c>
      <c r="B58" s="3" t="s">
        <v>64</v>
      </c>
      <c r="C58" s="3" t="s">
        <v>108</v>
      </c>
      <c r="D58" s="3">
        <v>250</v>
      </c>
      <c r="E58" s="3">
        <v>161</v>
      </c>
      <c r="F58" s="3" t="s">
        <v>8</v>
      </c>
    </row>
    <row r="59" spans="1:6" ht="15.75" customHeight="1" x14ac:dyDescent="0.25">
      <c r="A59" s="3">
        <v>58</v>
      </c>
      <c r="B59" s="3" t="s">
        <v>65</v>
      </c>
      <c r="C59" s="3" t="s">
        <v>109</v>
      </c>
      <c r="D59" s="3">
        <v>889</v>
      </c>
      <c r="E59" s="3">
        <v>472</v>
      </c>
      <c r="F59" s="3" t="s">
        <v>111</v>
      </c>
    </row>
    <row r="60" spans="1:6" ht="15.75" customHeight="1" x14ac:dyDescent="0.25">
      <c r="A60" s="3">
        <v>59</v>
      </c>
      <c r="B60" s="3" t="s">
        <v>66</v>
      </c>
      <c r="C60" s="3" t="s">
        <v>7</v>
      </c>
      <c r="D60" s="3">
        <v>829</v>
      </c>
      <c r="E60" s="3">
        <v>324</v>
      </c>
      <c r="F60" s="3" t="s">
        <v>111</v>
      </c>
    </row>
    <row r="61" spans="1:6" ht="15.75" customHeight="1" x14ac:dyDescent="0.25">
      <c r="A61" s="3">
        <v>60</v>
      </c>
      <c r="B61" s="3" t="s">
        <v>67</v>
      </c>
      <c r="C61" s="3" t="s">
        <v>109</v>
      </c>
      <c r="D61" s="3">
        <v>979</v>
      </c>
      <c r="E61" s="3">
        <v>383</v>
      </c>
      <c r="F61" s="3" t="s">
        <v>113</v>
      </c>
    </row>
    <row r="62" spans="1:6" ht="15.75" customHeight="1" x14ac:dyDescent="0.25">
      <c r="A62" s="3">
        <v>61</v>
      </c>
      <c r="B62" s="3" t="s">
        <v>68</v>
      </c>
      <c r="C62" s="3" t="s">
        <v>7</v>
      </c>
      <c r="D62" s="3">
        <v>82</v>
      </c>
      <c r="E62" s="3">
        <v>169</v>
      </c>
      <c r="F62" s="3" t="s">
        <v>111</v>
      </c>
    </row>
    <row r="63" spans="1:6" ht="15.75" customHeight="1" x14ac:dyDescent="0.25">
      <c r="A63" s="3">
        <v>62</v>
      </c>
      <c r="B63" s="3" t="s">
        <v>69</v>
      </c>
      <c r="C63" s="3" t="s">
        <v>7</v>
      </c>
      <c r="D63" s="3">
        <v>97</v>
      </c>
      <c r="E63" s="3">
        <v>105</v>
      </c>
      <c r="F63" s="3" t="s">
        <v>112</v>
      </c>
    </row>
    <row r="64" spans="1:6" ht="15.75" customHeight="1" x14ac:dyDescent="0.25">
      <c r="A64" s="3">
        <v>63</v>
      </c>
      <c r="B64" s="3" t="s">
        <v>70</v>
      </c>
      <c r="C64" s="3" t="s">
        <v>109</v>
      </c>
      <c r="D64" s="3">
        <v>552</v>
      </c>
      <c r="E64" s="3">
        <v>481</v>
      </c>
      <c r="F64" s="3" t="s">
        <v>111</v>
      </c>
    </row>
    <row r="65" spans="1:6" ht="15.75" customHeight="1" x14ac:dyDescent="0.25">
      <c r="A65" s="3">
        <v>64</v>
      </c>
      <c r="B65" s="3" t="s">
        <v>71</v>
      </c>
      <c r="C65" s="3" t="s">
        <v>109</v>
      </c>
      <c r="D65" s="3">
        <v>456</v>
      </c>
      <c r="E65" s="3">
        <v>242</v>
      </c>
      <c r="F65" s="3" t="s">
        <v>111</v>
      </c>
    </row>
    <row r="66" spans="1:6" ht="15.75" customHeight="1" x14ac:dyDescent="0.25">
      <c r="A66" s="3">
        <v>65</v>
      </c>
      <c r="B66" s="3" t="s">
        <v>72</v>
      </c>
      <c r="C66" s="3" t="s">
        <v>7</v>
      </c>
      <c r="D66" s="3">
        <v>623</v>
      </c>
      <c r="E66" s="3">
        <v>189</v>
      </c>
      <c r="F66" s="3" t="s">
        <v>112</v>
      </c>
    </row>
    <row r="67" spans="1:6" ht="15.75" customHeight="1" x14ac:dyDescent="0.25">
      <c r="A67" s="3">
        <v>66</v>
      </c>
      <c r="B67" s="3" t="s">
        <v>73</v>
      </c>
      <c r="C67" s="3" t="s">
        <v>110</v>
      </c>
      <c r="D67" s="3">
        <v>777</v>
      </c>
      <c r="E67" s="3">
        <v>122</v>
      </c>
      <c r="F67" s="3" t="s">
        <v>113</v>
      </c>
    </row>
    <row r="68" spans="1:6" ht="15.75" customHeight="1" x14ac:dyDescent="0.25">
      <c r="A68" s="3">
        <v>67</v>
      </c>
      <c r="B68" s="3" t="s">
        <v>74</v>
      </c>
      <c r="C68" s="3" t="s">
        <v>108</v>
      </c>
      <c r="D68" s="3">
        <v>854</v>
      </c>
      <c r="E68" s="3">
        <v>327</v>
      </c>
      <c r="F68" s="3" t="s">
        <v>112</v>
      </c>
    </row>
    <row r="69" spans="1:6" ht="15.75" customHeight="1" x14ac:dyDescent="0.25">
      <c r="A69" s="3">
        <v>68</v>
      </c>
      <c r="B69" s="3" t="s">
        <v>75</v>
      </c>
      <c r="C69" s="3" t="s">
        <v>109</v>
      </c>
      <c r="D69" s="3">
        <v>148</v>
      </c>
      <c r="E69" s="3">
        <v>451</v>
      </c>
      <c r="F69" s="3" t="s">
        <v>111</v>
      </c>
    </row>
    <row r="70" spans="1:6" ht="15.75" customHeight="1" x14ac:dyDescent="0.25">
      <c r="A70" s="3">
        <v>69</v>
      </c>
      <c r="B70" s="3" t="s">
        <v>76</v>
      </c>
      <c r="C70" s="3" t="s">
        <v>108</v>
      </c>
      <c r="D70" s="3">
        <v>733</v>
      </c>
      <c r="E70" s="3">
        <v>61</v>
      </c>
      <c r="F70" s="3" t="s">
        <v>113</v>
      </c>
    </row>
    <row r="71" spans="1:6" ht="15.75" customHeight="1" x14ac:dyDescent="0.25">
      <c r="A71" s="3">
        <v>70</v>
      </c>
      <c r="B71" s="3" t="s">
        <v>77</v>
      </c>
      <c r="C71" s="3" t="s">
        <v>110</v>
      </c>
      <c r="D71" s="3">
        <v>921</v>
      </c>
      <c r="E71" s="3">
        <v>277</v>
      </c>
      <c r="F71" s="3" t="s">
        <v>111</v>
      </c>
    </row>
    <row r="72" spans="1:6" ht="15.75" customHeight="1" x14ac:dyDescent="0.25">
      <c r="A72" s="3">
        <v>71</v>
      </c>
      <c r="B72" s="3" t="s">
        <v>78</v>
      </c>
      <c r="C72" s="3" t="s">
        <v>110</v>
      </c>
      <c r="D72" s="3">
        <v>775</v>
      </c>
      <c r="E72" s="3">
        <v>304</v>
      </c>
      <c r="F72" s="3" t="s">
        <v>112</v>
      </c>
    </row>
    <row r="73" spans="1:6" ht="15.75" customHeight="1" x14ac:dyDescent="0.25">
      <c r="A73" s="3">
        <v>72</v>
      </c>
      <c r="B73" s="3" t="s">
        <v>79</v>
      </c>
      <c r="C73" s="3" t="s">
        <v>110</v>
      </c>
      <c r="D73" s="3">
        <v>596</v>
      </c>
      <c r="E73" s="3">
        <v>395</v>
      </c>
      <c r="F73" s="3" t="s">
        <v>112</v>
      </c>
    </row>
    <row r="74" spans="1:6" ht="15.75" customHeight="1" x14ac:dyDescent="0.25">
      <c r="A74" s="3">
        <v>73</v>
      </c>
      <c r="B74" s="3" t="s">
        <v>80</v>
      </c>
      <c r="C74" s="3" t="s">
        <v>109</v>
      </c>
      <c r="D74" s="3">
        <v>788</v>
      </c>
      <c r="E74" s="3">
        <v>396</v>
      </c>
      <c r="F74" s="3" t="s">
        <v>111</v>
      </c>
    </row>
    <row r="75" spans="1:6" ht="15.75" customHeight="1" x14ac:dyDescent="0.25">
      <c r="A75" s="3">
        <v>74</v>
      </c>
      <c r="B75" s="3" t="s">
        <v>81</v>
      </c>
      <c r="C75" s="3" t="s">
        <v>110</v>
      </c>
      <c r="D75" s="3">
        <v>662</v>
      </c>
      <c r="E75" s="3">
        <v>122</v>
      </c>
      <c r="F75" s="3" t="s">
        <v>8</v>
      </c>
    </row>
    <row r="76" spans="1:6" ht="15.75" customHeight="1" x14ac:dyDescent="0.25">
      <c r="A76" s="3">
        <v>75</v>
      </c>
      <c r="B76" s="3" t="s">
        <v>82</v>
      </c>
      <c r="C76" s="3" t="s">
        <v>109</v>
      </c>
      <c r="D76" s="3">
        <v>992</v>
      </c>
      <c r="E76" s="3">
        <v>110</v>
      </c>
      <c r="F76" s="3" t="s">
        <v>8</v>
      </c>
    </row>
    <row r="77" spans="1:6" ht="15.75" customHeight="1" x14ac:dyDescent="0.25">
      <c r="A77" s="3">
        <v>76</v>
      </c>
      <c r="B77" s="3" t="s">
        <v>83</v>
      </c>
      <c r="C77" s="3" t="s">
        <v>110</v>
      </c>
      <c r="D77" s="3">
        <v>511</v>
      </c>
      <c r="E77" s="3">
        <v>122</v>
      </c>
      <c r="F77" s="3" t="s">
        <v>112</v>
      </c>
    </row>
    <row r="78" spans="1:6" ht="15.75" customHeight="1" x14ac:dyDescent="0.25">
      <c r="A78" s="3">
        <v>77</v>
      </c>
      <c r="B78" s="3" t="s">
        <v>84</v>
      </c>
      <c r="C78" s="3" t="s">
        <v>108</v>
      </c>
      <c r="D78" s="3">
        <v>692</v>
      </c>
      <c r="E78" s="3">
        <v>449</v>
      </c>
      <c r="F78" s="3" t="s">
        <v>112</v>
      </c>
    </row>
    <row r="79" spans="1:6" ht="15.75" customHeight="1" x14ac:dyDescent="0.25">
      <c r="A79" s="3">
        <v>78</v>
      </c>
      <c r="B79" s="3" t="s">
        <v>85</v>
      </c>
      <c r="C79" s="3" t="s">
        <v>108</v>
      </c>
      <c r="D79" s="3">
        <v>818</v>
      </c>
      <c r="E79" s="3">
        <v>90</v>
      </c>
      <c r="F79" s="3" t="s">
        <v>8</v>
      </c>
    </row>
    <row r="80" spans="1:6" ht="15.75" customHeight="1" x14ac:dyDescent="0.25">
      <c r="A80" s="3">
        <v>79</v>
      </c>
      <c r="B80" s="3" t="s">
        <v>86</v>
      </c>
      <c r="C80" s="3" t="s">
        <v>7</v>
      </c>
      <c r="D80" s="3">
        <v>54</v>
      </c>
      <c r="E80" s="3">
        <v>196</v>
      </c>
      <c r="F80" s="3" t="s">
        <v>8</v>
      </c>
    </row>
    <row r="81" spans="1:6" ht="15.75" customHeight="1" x14ac:dyDescent="0.25">
      <c r="A81" s="3">
        <v>80</v>
      </c>
      <c r="B81" s="3" t="s">
        <v>87</v>
      </c>
      <c r="C81" s="3" t="s">
        <v>108</v>
      </c>
      <c r="D81" s="3">
        <v>267</v>
      </c>
      <c r="E81" s="3">
        <v>122</v>
      </c>
      <c r="F81" s="3" t="s">
        <v>111</v>
      </c>
    </row>
    <row r="82" spans="1:6" ht="15.75" customHeight="1" x14ac:dyDescent="0.25">
      <c r="A82" s="3">
        <v>81</v>
      </c>
      <c r="B82" s="3" t="s">
        <v>88</v>
      </c>
      <c r="C82" s="3" t="s">
        <v>7</v>
      </c>
      <c r="D82" s="3">
        <v>552</v>
      </c>
      <c r="E82" s="3">
        <v>11</v>
      </c>
      <c r="F82" s="3" t="s">
        <v>111</v>
      </c>
    </row>
    <row r="83" spans="1:6" ht="15.75" customHeight="1" x14ac:dyDescent="0.25">
      <c r="A83" s="3">
        <v>82</v>
      </c>
      <c r="B83" s="3" t="s">
        <v>89</v>
      </c>
      <c r="C83" s="3" t="s">
        <v>108</v>
      </c>
      <c r="D83" s="3">
        <v>816</v>
      </c>
      <c r="E83" s="3">
        <v>139</v>
      </c>
      <c r="F83" s="3" t="s">
        <v>8</v>
      </c>
    </row>
    <row r="84" spans="1:6" ht="15.75" customHeight="1" x14ac:dyDescent="0.25">
      <c r="A84" s="3">
        <v>83</v>
      </c>
      <c r="B84" s="3" t="s">
        <v>90</v>
      </c>
      <c r="C84" s="3" t="s">
        <v>109</v>
      </c>
      <c r="D84" s="3">
        <v>447</v>
      </c>
      <c r="E84" s="3">
        <v>229</v>
      </c>
      <c r="F84" s="3" t="s">
        <v>111</v>
      </c>
    </row>
    <row r="85" spans="1:6" ht="15.75" customHeight="1" x14ac:dyDescent="0.25">
      <c r="A85" s="3">
        <v>84</v>
      </c>
      <c r="B85" s="3" t="s">
        <v>91</v>
      </c>
      <c r="C85" s="3" t="s">
        <v>108</v>
      </c>
      <c r="D85" s="3">
        <v>920</v>
      </c>
      <c r="E85" s="3">
        <v>63</v>
      </c>
      <c r="F85" s="3" t="s">
        <v>111</v>
      </c>
    </row>
    <row r="86" spans="1:6" ht="15.75" customHeight="1" x14ac:dyDescent="0.25">
      <c r="A86" s="3">
        <v>85</v>
      </c>
      <c r="B86" s="3" t="s">
        <v>92</v>
      </c>
      <c r="C86" s="3" t="s">
        <v>7</v>
      </c>
      <c r="D86" s="3">
        <v>844</v>
      </c>
      <c r="E86" s="3">
        <v>352</v>
      </c>
      <c r="F86" s="3" t="s">
        <v>113</v>
      </c>
    </row>
    <row r="87" spans="1:6" ht="15.75" customHeight="1" x14ac:dyDescent="0.25">
      <c r="A87" s="3">
        <v>86</v>
      </c>
      <c r="B87" s="3" t="s">
        <v>93</v>
      </c>
      <c r="C87" s="3" t="s">
        <v>7</v>
      </c>
      <c r="D87" s="3">
        <v>442</v>
      </c>
      <c r="E87" s="3">
        <v>494</v>
      </c>
      <c r="F87" s="3" t="s">
        <v>111</v>
      </c>
    </row>
    <row r="88" spans="1:6" ht="15.75" customHeight="1" x14ac:dyDescent="0.25">
      <c r="A88" s="3">
        <v>87</v>
      </c>
      <c r="B88" s="3" t="s">
        <v>94</v>
      </c>
      <c r="C88" s="3" t="s">
        <v>110</v>
      </c>
      <c r="D88" s="3">
        <v>256</v>
      </c>
      <c r="E88" s="3">
        <v>233</v>
      </c>
      <c r="F88" s="3" t="s">
        <v>112</v>
      </c>
    </row>
    <row r="89" spans="1:6" ht="15.75" customHeight="1" x14ac:dyDescent="0.25">
      <c r="A89" s="3">
        <v>88</v>
      </c>
      <c r="B89" s="3" t="s">
        <v>95</v>
      </c>
      <c r="C89" s="3" t="s">
        <v>109</v>
      </c>
      <c r="D89" s="3">
        <v>64</v>
      </c>
      <c r="E89" s="3">
        <v>234</v>
      </c>
      <c r="F89" s="3" t="s">
        <v>111</v>
      </c>
    </row>
    <row r="90" spans="1:6" ht="15.75" customHeight="1" x14ac:dyDescent="0.25">
      <c r="A90" s="3">
        <v>89</v>
      </c>
      <c r="B90" s="3" t="s">
        <v>96</v>
      </c>
      <c r="C90" s="3" t="s">
        <v>108</v>
      </c>
      <c r="D90" s="3">
        <v>907</v>
      </c>
      <c r="E90" s="3">
        <v>394</v>
      </c>
      <c r="F90" s="3" t="s">
        <v>111</v>
      </c>
    </row>
    <row r="91" spans="1:6" ht="15.75" customHeight="1" x14ac:dyDescent="0.25">
      <c r="A91" s="3">
        <v>90</v>
      </c>
      <c r="B91" s="3" t="s">
        <v>97</v>
      </c>
      <c r="C91" s="3" t="s">
        <v>110</v>
      </c>
      <c r="D91" s="3">
        <v>603</v>
      </c>
      <c r="E91" s="3">
        <v>412</v>
      </c>
      <c r="F91" s="3" t="s">
        <v>8</v>
      </c>
    </row>
    <row r="92" spans="1:6" ht="15.75" customHeight="1" x14ac:dyDescent="0.25">
      <c r="A92" s="3">
        <v>91</v>
      </c>
      <c r="B92" s="3" t="s">
        <v>98</v>
      </c>
      <c r="C92" s="3" t="s">
        <v>108</v>
      </c>
      <c r="D92" s="3">
        <v>941</v>
      </c>
      <c r="E92" s="3">
        <v>135</v>
      </c>
      <c r="F92" s="3" t="s">
        <v>112</v>
      </c>
    </row>
    <row r="93" spans="1:6" ht="15.75" customHeight="1" x14ac:dyDescent="0.25">
      <c r="A93" s="3">
        <v>92</v>
      </c>
      <c r="B93" s="3" t="s">
        <v>99</v>
      </c>
      <c r="C93" s="3" t="s">
        <v>108</v>
      </c>
      <c r="D93" s="3">
        <v>510</v>
      </c>
      <c r="E93" s="3">
        <v>139</v>
      </c>
      <c r="F93" s="3" t="s">
        <v>111</v>
      </c>
    </row>
    <row r="94" spans="1:6" ht="15.75" customHeight="1" x14ac:dyDescent="0.25">
      <c r="A94" s="3">
        <v>93</v>
      </c>
      <c r="B94" s="3" t="s">
        <v>100</v>
      </c>
      <c r="C94" s="3" t="s">
        <v>110</v>
      </c>
      <c r="D94" s="3">
        <v>740</v>
      </c>
      <c r="E94" s="3">
        <v>62</v>
      </c>
      <c r="F94" s="3" t="s">
        <v>111</v>
      </c>
    </row>
    <row r="95" spans="1:6" ht="15.75" customHeight="1" x14ac:dyDescent="0.25">
      <c r="A95" s="3">
        <v>94</v>
      </c>
      <c r="B95" s="3" t="s">
        <v>101</v>
      </c>
      <c r="C95" s="3" t="s">
        <v>110</v>
      </c>
      <c r="D95" s="3">
        <v>624</v>
      </c>
      <c r="E95" s="3">
        <v>181</v>
      </c>
      <c r="F95" s="3" t="s">
        <v>113</v>
      </c>
    </row>
    <row r="96" spans="1:6" ht="15.75" customHeight="1" x14ac:dyDescent="0.25">
      <c r="A96" s="3">
        <v>95</v>
      </c>
      <c r="B96" s="3" t="s">
        <v>102</v>
      </c>
      <c r="C96" s="3" t="s">
        <v>110</v>
      </c>
      <c r="D96" s="3">
        <v>913</v>
      </c>
      <c r="E96" s="3">
        <v>227</v>
      </c>
      <c r="F96" s="3" t="s">
        <v>111</v>
      </c>
    </row>
    <row r="97" spans="1:6" ht="15.75" customHeight="1" x14ac:dyDescent="0.25">
      <c r="A97" s="3">
        <v>96</v>
      </c>
      <c r="B97" s="3" t="s">
        <v>103</v>
      </c>
      <c r="C97" s="3" t="s">
        <v>110</v>
      </c>
      <c r="D97" s="3">
        <v>792</v>
      </c>
      <c r="E97" s="3">
        <v>169</v>
      </c>
      <c r="F97" s="3" t="s">
        <v>111</v>
      </c>
    </row>
    <row r="98" spans="1:6" ht="15.75" customHeight="1" x14ac:dyDescent="0.25">
      <c r="A98" s="3">
        <v>97</v>
      </c>
      <c r="B98" s="3" t="s">
        <v>104</v>
      </c>
      <c r="C98" s="3" t="s">
        <v>110</v>
      </c>
      <c r="D98" s="3">
        <v>290</v>
      </c>
      <c r="E98" s="3">
        <v>207</v>
      </c>
      <c r="F98" s="3" t="s">
        <v>113</v>
      </c>
    </row>
    <row r="99" spans="1:6" ht="15.75" customHeight="1" x14ac:dyDescent="0.25">
      <c r="A99" s="3">
        <v>98</v>
      </c>
      <c r="B99" s="3" t="s">
        <v>105</v>
      </c>
      <c r="C99" s="3" t="s">
        <v>108</v>
      </c>
      <c r="D99" s="3">
        <v>613</v>
      </c>
      <c r="E99" s="3">
        <v>425</v>
      </c>
      <c r="F99" s="3" t="s">
        <v>8</v>
      </c>
    </row>
    <row r="100" spans="1:6" ht="15.75" customHeight="1" x14ac:dyDescent="0.25">
      <c r="A100" s="3">
        <v>99</v>
      </c>
      <c r="B100" s="3" t="s">
        <v>106</v>
      </c>
      <c r="C100" s="3" t="s">
        <v>110</v>
      </c>
      <c r="D100" s="3">
        <v>145</v>
      </c>
      <c r="E100" s="3">
        <v>256</v>
      </c>
      <c r="F100" s="3" t="s">
        <v>111</v>
      </c>
    </row>
    <row r="101" spans="1:6" ht="15.75" customHeight="1" x14ac:dyDescent="0.25">
      <c r="A101" s="3">
        <v>100</v>
      </c>
      <c r="B101" s="3" t="s">
        <v>107</v>
      </c>
      <c r="C101" s="3" t="s">
        <v>109</v>
      </c>
      <c r="D101" s="3">
        <v>949</v>
      </c>
      <c r="E101" s="3">
        <v>333</v>
      </c>
      <c r="F101" s="3" t="s">
        <v>113</v>
      </c>
    </row>
    <row r="102" spans="1:6" ht="15.75" customHeight="1" x14ac:dyDescent="0.25"/>
    <row r="103" spans="1:6" ht="15.75" customHeight="1" x14ac:dyDescent="0.25"/>
    <row r="104" spans="1:6" ht="15.75" customHeight="1" x14ac:dyDescent="0.25"/>
    <row r="105" spans="1:6" ht="15.75" customHeight="1" x14ac:dyDescent="0.25"/>
    <row r="106" spans="1:6" ht="15.75" customHeight="1" x14ac:dyDescent="0.25"/>
    <row r="107" spans="1:6" ht="15.75" customHeight="1" x14ac:dyDescent="0.25"/>
    <row r="108" spans="1:6" ht="15.75" customHeight="1" x14ac:dyDescent="0.25"/>
    <row r="109" spans="1:6" ht="15.75" customHeight="1" x14ac:dyDescent="0.25"/>
    <row r="110" spans="1:6" ht="15.75" customHeight="1" x14ac:dyDescent="0.25"/>
    <row r="111" spans="1:6" ht="15.75" customHeight="1" x14ac:dyDescent="0.25"/>
    <row r="112" spans="1:6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Anushka Sahu</cp:lastModifiedBy>
  <dcterms:modified xsi:type="dcterms:W3CDTF">2025-12-16T10:41:47Z</dcterms:modified>
</cp:coreProperties>
</file>